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ew folder (4)\"/>
    </mc:Choice>
  </mc:AlternateContent>
  <xr:revisionPtr revIDLastSave="0" documentId="13_ncr:1_{F6B2D930-D02B-4351-88C1-E69F2434FB23}" xr6:coauthVersionLast="47" xr6:coauthVersionMax="47" xr10:uidLastSave="{00000000-0000-0000-0000-000000000000}"/>
  <bookViews>
    <workbookView xWindow="-4230" yWindow="460" windowWidth="8700" windowHeight="7810" xr2:uid="{00000000-000D-0000-FFFF-FFFF00000000}"/>
  </bookViews>
  <sheets>
    <sheet name="Test Cases" sheetId="3" r:id="rId1"/>
  </sheets>
  <definedNames>
    <definedName name="mm">'Test Cases'!$I$12</definedName>
    <definedName name="verify_package_Design">'Test Cases'!$I$12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3" l="1"/>
  <c r="I4" i="3"/>
  <c r="I3" i="3"/>
  <c r="I5" i="3" l="1"/>
</calcChain>
</file>

<file path=xl/sharedStrings.xml><?xml version="1.0" encoding="utf-8"?>
<sst xmlns="http://schemas.openxmlformats.org/spreadsheetml/2006/main" count="253" uniqueCount="156">
  <si>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</si>
  <si>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</si>
  <si>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</si>
  <si>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</si>
  <si>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</si>
  <si>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</si>
  <si>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</si>
  <si>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</si>
  <si>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</si>
  <si>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</si>
  <si>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</si>
  <si>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</si>
  <si>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</si>
  <si>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</si>
  <si>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</si>
  <si>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</si>
  <si>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</si>
  <si>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</si>
  <si>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</si>
  <si>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</si>
  <si>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</si>
  <si>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</si>
  <si>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</si>
  <si>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</si>
  <si>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</si>
  <si>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</si>
  <si>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</si>
  <si>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</si>
  <si>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x</t>
  </si>
  <si>
    <t>28/4/2021</t>
  </si>
  <si>
    <t>Noman , Moni</t>
  </si>
  <si>
    <t>28/04/2021</t>
  </si>
  <si>
    <t>Do not show the alart pop-up  correctly.</t>
  </si>
  <si>
    <t>Epic</t>
  </si>
  <si>
    <t>Packages</t>
  </si>
  <si>
    <t xml:space="preserve">Precondition </t>
  </si>
  <si>
    <t>Verify First name</t>
  </si>
  <si>
    <t>1. '"@&amp;^%"</t>
  </si>
  <si>
    <t>user should get alart pop-up of special cheracter</t>
  </si>
  <si>
    <t xml:space="preserve">comment </t>
  </si>
  <si>
    <t>Bangla Shoppers</t>
  </si>
  <si>
    <t>27/10/2021</t>
  </si>
  <si>
    <t xml:space="preserve">goto  www.banglashoppers.com -&gt; tap on x button of advertise -&gt; tap on register-&gt; fill with first name with  "Special character-@&amp;^%" -&gt; fill up other fieldcorrectly  -&gt;  tap onregistration button </t>
  </si>
  <si>
    <t>Verify Last name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</si>
  <si>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</si>
  <si>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</si>
  <si>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</si>
  <si>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</si>
  <si>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</si>
  <si>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</si>
  <si>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</si>
  <si>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</si>
  <si>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</si>
  <si>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</si>
  <si>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</si>
  <si>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Verify email address</t>
  </si>
  <si>
    <t xml:space="preserve">goto  www.banglashoppers.com -&gt; tap on x button of advertise -&gt; tap on register-&gt; fill with email-&gt; fill up other fieldcorrectly  -&gt;  tap onregistration button </t>
  </si>
  <si>
    <t>user should get otp in their email and give otp to verify the email is valid or not</t>
  </si>
  <si>
    <t>1. general format</t>
  </si>
  <si>
    <t>1. without @</t>
  </si>
  <si>
    <t xml:space="preserve">goto  www.banglashoppers.com -&gt; tap on x button of advertise -&gt; tap on register-&gt; fill with emailwith out @-&gt; fill up other fieldcorrectly  -&gt;  tap onregistration button </t>
  </si>
  <si>
    <t>give warning to the user</t>
  </si>
  <si>
    <t>Verify gender</t>
  </si>
  <si>
    <t>Verify password</t>
  </si>
  <si>
    <t xml:space="preserve">goto  www.banglashoppers.com -&gt; tap on x button of advertise -&gt; tap on register-&gt; don't fill the gender-&gt; fill up other fieldcorrectly  -&gt;  tap onregistration button </t>
  </si>
  <si>
    <t xml:space="preserve">goto  www.banglashoppers.com -&gt; tap on x button of advertise -&gt; tap on register-&gt; fill the password with 123456789-&gt; fill up other fieldcorrectly  -&gt;  tap on registration button </t>
  </si>
  <si>
    <t>1 .with 3 alphabet</t>
  </si>
  <si>
    <t xml:space="preserve">goto  www.banglashoppers.com -&gt; tap on x button of advertise -&gt; tap on register-&gt; fill the password with abc-&gt; fill up other fieldcorrectly  -&gt;  tap on registration button </t>
  </si>
  <si>
    <t>1. with 4 alphabet and 4 digit</t>
  </si>
  <si>
    <t xml:space="preserve">goto  www.banglashoppers.com -&gt; tap on x button of advertise -&gt; tap on register-&gt; fill the password with abcd1234-&gt; fill up other fieldcorrectly  -&gt;  tap on registration button </t>
  </si>
  <si>
    <t>give warning to the user for a special character</t>
  </si>
  <si>
    <t>registered successfully</t>
  </si>
  <si>
    <t>Verify Confirm password</t>
  </si>
  <si>
    <t>1.mismatch password entered</t>
  </si>
  <si>
    <t>goto  www.banglashoppers.com -&gt; tap on x button of advertise -&gt; tap on register-&gt; fill the password with 123456789@-&gt;fill the confirm password with 123456789% -&gt; fill up other fieldcorrectly  -&gt;  tap on registration button</t>
  </si>
  <si>
    <t>Verify Captcha</t>
  </si>
  <si>
    <t>1.give worng captcha</t>
  </si>
  <si>
    <t>goto  www.banglashoppers.com -&gt; tap on x button of advertise -&gt; tap on register-&gt; fill the worng captcha-&gt; fill up other fieldcorrectly  -&gt;  tap on registration button</t>
  </si>
  <si>
    <t xml:space="preserve">give warning to the user </t>
  </si>
  <si>
    <t>Bristy , Tamanna Zaman</t>
  </si>
  <si>
    <t>1.give worng domain</t>
  </si>
  <si>
    <t xml:space="preserve">goto  www.banglashoppers.com -&gt; tap on x button of advertise -&gt; tap on register-&gt; fill with email abc@ghhj.com-&gt; fill up other fieldcorrectly  -&gt;  tap onregistration button </t>
  </si>
  <si>
    <t xml:space="preserve">goto  www.banglashoppers.com -&gt; tap on x button of advertise -&gt; tap on register-&gt; fill with email 'ghf@gmail'-&gt; fill up other fieldcorrectly  -&gt;  tap onregistration button </t>
  </si>
  <si>
    <t xml:space="preserve">goto  www.banglashoppers.com -&gt; tap on x button of advertise -&gt; tap on register-&gt; fill with email 'ghf@gmail.ajhsfghsgf'-&gt; fill up other fieldcorrectly  -&gt;  tap onregistration button </t>
  </si>
  <si>
    <t xml:space="preserve">goto  www.banglashoppers.com -&gt; tap on x button of advertise -&gt; tap on register-&gt; fill with first name with alphabet -&gt; fill up other fieldcorrectly  -&gt;  tap onregistration button </t>
  </si>
  <si>
    <t>Registration successful</t>
  </si>
  <si>
    <t>1.Tamanna</t>
  </si>
  <si>
    <t>1.Zaman</t>
  </si>
  <si>
    <t xml:space="preserve">goto  www.banglashoppers.com -&gt; tap on x button of advertise -&gt; tap on register-&gt; fill with last name with  "Special character-@&amp;^%" -&gt; fill up other fieldcorrectly  -&gt;  tap onregistration button </t>
  </si>
  <si>
    <t xml:space="preserve">goto  www.banglashoppers.com -&gt; tap on x button of advertise -&gt; tap on register-&gt; fill with last name with alphabet -&gt; fill up other fieldcorrectly  -&gt;  tap onregistration button </t>
  </si>
  <si>
    <t>Do not verify the mail and registered successfully</t>
  </si>
  <si>
    <t>1.Give wrong domain suffix</t>
  </si>
  <si>
    <t>1 female</t>
  </si>
  <si>
    <t>1.male</t>
  </si>
  <si>
    <t>1.not specified</t>
  </si>
  <si>
    <t xml:space="preserve">goto  www.banglashoppers.com -&gt; tap on x button of advertise -&gt; tap on register-&gt; fill the gender with female-&gt; fill up other fieldcorrectly  -&gt;  tap onregistration button </t>
  </si>
  <si>
    <t xml:space="preserve">goto  www.banglashoppers.com -&gt; tap on x button of advertise -&gt; tap on register-&gt; fill the gender with male-&gt; fill up other fieldcorrectly  -&gt;  tap on registration button </t>
  </si>
  <si>
    <t xml:space="preserve">goto  www.banglashoppers.com -&gt; tap on x button of advertise -&gt; tap on register-&gt; fill the gender with not specified-&gt; fill up other fieldcorrectly  -&gt;  tap onregistration button </t>
  </si>
  <si>
    <t>TC014</t>
  </si>
  <si>
    <t>TC015</t>
  </si>
  <si>
    <t>TC016</t>
  </si>
  <si>
    <t>TC017</t>
  </si>
  <si>
    <t xml:space="preserve">1. with 4 alphabet ,3 digits and 1 special character </t>
  </si>
  <si>
    <t xml:space="preserve">goto  www.banglashoppers.com -&gt; tap on x button of advertise -&gt; tap on register-&gt; fill the password with abcd123@-&gt; fill up other fieldcorrectly  -&gt;  tap on registration button </t>
  </si>
  <si>
    <t>TC018</t>
  </si>
  <si>
    <t xml:space="preserve">1.matching password </t>
  </si>
  <si>
    <t>goto  www.banglashoppers.com -&gt; tap on x button of advertise -&gt; tap on register-&gt; fill the password with 123456789%-&gt;fill the confirm password with 123456789% -&gt; fill up other fieldcorrectly  -&gt;  tap on registration button</t>
  </si>
  <si>
    <t>1.give right captcha</t>
  </si>
  <si>
    <t>goto  www.banglashoppers.com -&gt; tap on x button of advertise -&gt; tap on register-&gt; fill the right captcha-&gt; fill up other fieldcorrectly  -&gt;  tap on registration button</t>
  </si>
  <si>
    <t>TC019</t>
  </si>
  <si>
    <t>TC020</t>
  </si>
  <si>
    <t>TC021</t>
  </si>
  <si>
    <t>email with wrong domain</t>
  </si>
  <si>
    <t>email with wrong domain suffix</t>
  </si>
  <si>
    <t>blank</t>
  </si>
  <si>
    <t xml:space="preserve">goto  www.banglashoppers.com -&gt; tap on x button of advertise -&gt; tap on register-&gt; blank the first name input  -&gt; fill up other fieldcorrectly  -&gt;  tap onregistration button </t>
  </si>
  <si>
    <t>user should get alert pop-up for blank input</t>
  </si>
  <si>
    <t xml:space="preserve">goto  www.banglashoppers.com -&gt; tap on x button of advertise -&gt; tap on register-&gt; blank the last name input  -&gt; fill up other fieldcorrectly  -&gt;  tap onregistration button </t>
  </si>
  <si>
    <t xml:space="preserve">goto  www.banglashoppers.com -&gt; tap on x button of advertise -&gt; tap on register-&gt; blank the email input  -&gt; fill up other fieldcorrectly  -&gt;  tap onregistration button </t>
  </si>
  <si>
    <t xml:space="preserve">goto  www.banglashoppers.com -&gt; tap on x button of advertise -&gt; tap on register-&gt; blank the password field  -&gt; fill up other fieldcorrectly  -&gt;  tap onregistration button </t>
  </si>
  <si>
    <t xml:space="preserve">goto  www.banglashoppers.com -&gt; tap on x button of advertise -&gt; tap on register-&gt; blank the confirm password field  -&gt; fill up other fieldcorrectly  -&gt;  tap onregistration button </t>
  </si>
  <si>
    <t xml:space="preserve">goto  www.banglashoppers.com -&gt; tap on x button of advertise -&gt; tap on register-&gt; blank the captcha field  -&gt; fill up other fieldcorrectly  -&gt;  tap onregistration button </t>
  </si>
  <si>
    <t>TC022</t>
  </si>
  <si>
    <t>TC023</t>
  </si>
  <si>
    <t>TC024</t>
  </si>
  <si>
    <t>TC025</t>
  </si>
  <si>
    <t>TC026</t>
  </si>
  <si>
    <t>TC027</t>
  </si>
  <si>
    <t>blank_fname</t>
  </si>
  <si>
    <t>blank_lname</t>
  </si>
  <si>
    <t>blank_email</t>
  </si>
  <si>
    <t>blank_pass</t>
  </si>
  <si>
    <t>blank_confirm</t>
  </si>
  <si>
    <t>blank_captcha</t>
  </si>
  <si>
    <t>invalid_fname</t>
  </si>
  <si>
    <t>valid_fname</t>
  </si>
  <si>
    <t>invalid_lname</t>
  </si>
  <si>
    <t>valid_lname</t>
  </si>
  <si>
    <t>valid_email</t>
  </si>
  <si>
    <t>1.dont give valid domain suffix</t>
  </si>
  <si>
    <t>1. blank</t>
  </si>
  <si>
    <t>email with without domain suffix</t>
  </si>
  <si>
    <t>blank_gender</t>
  </si>
  <si>
    <t>not_specified_gender</t>
  </si>
  <si>
    <t>1.without special character and alphabet</t>
  </si>
  <si>
    <t>without_s-char_pass</t>
  </si>
  <si>
    <t>with_3-alphabet</t>
  </si>
  <si>
    <t>4-alpha_&amp;_4-digit</t>
  </si>
  <si>
    <t>4-alpha_&amp;_3-digit_1-s-char</t>
  </si>
  <si>
    <t>invalid_captcha</t>
  </si>
  <si>
    <t>valid_captcha</t>
  </si>
  <si>
    <t>mismatch_confirmpass</t>
  </si>
  <si>
    <t>valid_confirmpass</t>
  </si>
  <si>
    <t>without_@_email</t>
  </si>
  <si>
    <t>female_gender</t>
  </si>
  <si>
    <t>male_gender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</si>
</sst>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8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9" fillId="0" borderId="1" xfId="1" quotePrefix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8" xfId="0" quotePrefix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1" fillId="0" borderId="1" xfId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0" borderId="9" xfId="0" quotePrefix="1" applyFont="1" applyBorder="1" applyAlignment="1">
      <alignment vertical="center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52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UXLFiwP_b7SUklfCY79ZiV7viI7DuZlT/view?usp=sharing" TargetMode="External"/><Relationship Id="rId3" Type="http://schemas.openxmlformats.org/officeDocument/2006/relationships/hyperlink" Target="https://drive.google.com/file/d/1UXLFiwP_b7SUklfCY79ZiV7viI7DuZlT/view?usp=sharing" TargetMode="External"/><Relationship Id="rId7" Type="http://schemas.openxmlformats.org/officeDocument/2006/relationships/hyperlink" Target="mailto:without_@_emai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kDGkO1C6tqYf2QE9GHmoH3D1q0iZ6vBp/view?usp=sharing" TargetMode="External"/><Relationship Id="rId1" Type="http://schemas.openxmlformats.org/officeDocument/2006/relationships/hyperlink" Target="https://drive.google.com/file/d/1jOkk1Ro4FbydKKUaBoWfVNtgtl6Evwuo/view?usp=sharing" TargetMode="External"/><Relationship Id="rId6" Type="http://schemas.openxmlformats.org/officeDocument/2006/relationships/hyperlink" Target="https://drive.google.com/file/d/1jOkk1Ro4FbydKKUaBoWfVNtgtl6Evwuo/view?usp=sharing" TargetMode="External"/><Relationship Id="rId11" Type="http://schemas.openxmlformats.org/officeDocument/2006/relationships/hyperlink" Target="https://drive.google.com/file/d/1kDGkO1C6tqYf2QE9GHmoH3D1q0iZ6vBp/view?usp=sharing" TargetMode="External"/><Relationship Id="rId5" Type="http://schemas.openxmlformats.org/officeDocument/2006/relationships/hyperlink" Target="https://drive.google.com/file/d/12vBX8HcFTnN6b4XTpyzC4mDDX-Hj_geD/view?usp=sharing" TargetMode="External"/><Relationship Id="rId10" Type="http://schemas.openxmlformats.org/officeDocument/2006/relationships/hyperlink" Target="https://drive.google.com/file/d/1kDGkO1C6tqYf2QE9GHmoH3D1q0iZ6vBp/view?usp=sharing" TargetMode="External"/><Relationship Id="rId4" Type="http://schemas.openxmlformats.org/officeDocument/2006/relationships/hyperlink" Target="https://drive.google.com/file/d/1jUUh1L4nCwHSfrFs6ELcq-M-fHfGKCwV/view?usp=sharing" TargetMode="External"/><Relationship Id="rId9" Type="http://schemas.openxmlformats.org/officeDocument/2006/relationships/hyperlink" Target="https://drive.google.com/file/d/1kDGkO1C6tqYf2QE9GHmoH3D1q0iZ6vB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2060"/>
  </sheetPr>
  <dimension ref="A1:J1014"/>
  <sheetViews>
    <sheetView showGridLines="0" tabSelected="1" topLeftCell="E1" zoomScale="68" zoomScaleNormal="121" workbookViewId="0">
      <pane ySplit="7" topLeftCell="A54" activePane="bottomLeft" state="frozen"/>
      <selection pane="bottomLeft" activeCell="I37" sqref="I37"/>
    </sheetView>
  </sheetViews>
  <sheetFormatPr defaultColWidth="14.453125" defaultRowHeight="15" customHeight="1" x14ac:dyDescent="0.25"/>
  <cols>
    <col min="1" max="1" width="21.90625" style="7" customWidth="1"/>
    <col min="2" max="2" width="18.08984375" style="7" customWidth="1"/>
    <col min="3" max="3" width="13.1796875" style="7" customWidth="1"/>
    <col min="4" max="4" width="34.90625" style="7" customWidth="1"/>
    <col min="5" max="5" width="37.90625" style="7" customWidth="1"/>
    <col min="6" max="6" width="28.36328125" style="7" customWidth="1"/>
    <col min="7" max="7" width="30" style="7" customWidth="1"/>
    <col min="8" max="8" width="13.6328125" style="7" customWidth="1"/>
    <col min="9" max="9" width="25" style="7" customWidth="1"/>
    <col min="10" max="10" width="17.36328125" style="7" customWidth="1"/>
    <col min="11" max="16384" width="14.453125" style="7"/>
  </cols>
  <sheetData>
    <row r="1" spans="1:10" ht="18" customHeight="1" x14ac:dyDescent="0.25">
      <c r="A1" s="48" t="s">
        <v>4</v>
      </c>
      <c r="B1" s="45"/>
      <c r="C1" s="1" t="s">
        <v>40</v>
      </c>
      <c r="D1" s="4" t="s">
        <v>5</v>
      </c>
      <c r="E1" s="5">
        <v>44504</v>
      </c>
      <c r="F1" s="6" t="s">
        <v>6</v>
      </c>
      <c r="G1" s="5" t="s">
        <v>41</v>
      </c>
      <c r="H1" s="49" t="s">
        <v>7</v>
      </c>
      <c r="I1" s="45"/>
    </row>
    <row r="2" spans="1:10" ht="13" x14ac:dyDescent="0.25">
      <c r="A2" s="47" t="s">
        <v>8</v>
      </c>
      <c r="B2" s="45"/>
      <c r="C2" s="2" t="s">
        <v>34</v>
      </c>
      <c r="D2" s="4" t="s">
        <v>9</v>
      </c>
      <c r="E2" s="5" t="s">
        <v>29</v>
      </c>
      <c r="F2" s="8" t="s">
        <v>10</v>
      </c>
      <c r="G2" s="5" t="s">
        <v>31</v>
      </c>
      <c r="H2" s="4" t="s">
        <v>0</v>
      </c>
      <c r="I2" s="20">
        <f>COUNTIF(H8:H82, "PASS")</f>
        <v>20</v>
      </c>
    </row>
    <row r="3" spans="1:10" ht="18" customHeight="1" x14ac:dyDescent="0.25">
      <c r="A3" s="47" t="s">
        <v>33</v>
      </c>
      <c r="B3" s="45"/>
      <c r="C3" s="2"/>
      <c r="D3" s="9" t="s">
        <v>11</v>
      </c>
      <c r="E3" s="3" t="s">
        <v>79</v>
      </c>
      <c r="F3" s="1" t="s">
        <v>12</v>
      </c>
      <c r="G3" s="2">
        <v>1</v>
      </c>
      <c r="H3" s="10" t="s">
        <v>1</v>
      </c>
      <c r="I3" s="21">
        <f>COUNTIF(H8:H82, "Fail")</f>
        <v>5</v>
      </c>
    </row>
    <row r="4" spans="1:10" ht="18" customHeight="1" x14ac:dyDescent="0.25">
      <c r="A4" s="47" t="s">
        <v>13</v>
      </c>
      <c r="B4" s="45"/>
      <c r="C4" s="2" t="s">
        <v>28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COUNTIF(H8:H82, "WARNING")</f>
        <v>2</v>
      </c>
    </row>
    <row r="5" spans="1:10" ht="18" customHeight="1" x14ac:dyDescent="0.25">
      <c r="A5" s="44" t="s">
        <v>17</v>
      </c>
      <c r="B5" s="45"/>
      <c r="C5" s="44"/>
      <c r="D5" s="46"/>
      <c r="E5" s="46"/>
      <c r="F5" s="46"/>
      <c r="G5" s="45"/>
      <c r="H5" s="12" t="s">
        <v>18</v>
      </c>
      <c r="I5" s="23">
        <f>SUM(I2:I3:I4)</f>
        <v>27</v>
      </c>
    </row>
    <row r="6" spans="1:10" ht="18" customHeight="1" x14ac:dyDescent="0.25">
      <c r="A6" s="37"/>
      <c r="B6" s="40"/>
      <c r="C6" s="41"/>
      <c r="D6" s="38"/>
      <c r="E6" s="38"/>
      <c r="F6" s="38"/>
      <c r="G6" s="40"/>
      <c r="H6" s="10"/>
      <c r="I6" s="42"/>
    </row>
    <row r="7" spans="1:10" ht="18" customHeight="1" x14ac:dyDescent="0.25">
      <c r="A7" s="13" t="s">
        <v>19</v>
      </c>
      <c r="B7" s="14" t="s">
        <v>20</v>
      </c>
      <c r="C7" s="36" t="s">
        <v>35</v>
      </c>
      <c r="D7" s="14" t="s">
        <v>23</v>
      </c>
      <c r="E7" s="14" t="s">
        <v>24</v>
      </c>
      <c r="F7" s="14" t="s">
        <v>21</v>
      </c>
      <c r="G7" s="14" t="s">
        <v>25</v>
      </c>
      <c r="H7" s="14" t="s">
        <v>22</v>
      </c>
      <c r="I7" s="14" t="s">
        <v>2</v>
      </c>
      <c r="J7" s="7" t="s">
        <v>39</v>
      </c>
    </row>
    <row r="8" spans="1:10" ht="42.5" customHeight="1" x14ac:dyDescent="0.25">
      <c r="A8" s="15" t="s">
        <v>26</v>
      </c>
      <c r="B8" s="16" t="s">
        <v>36</v>
      </c>
      <c r="C8" s="16"/>
      <c r="D8" s="16" t="s">
        <v>114</v>
      </c>
      <c r="E8" s="17" t="s">
        <v>115</v>
      </c>
      <c r="F8" s="16" t="s">
        <v>116</v>
      </c>
      <c r="G8" s="16" t="s">
        <v>116</v>
      </c>
      <c r="H8" s="18" t="s">
        <v>0</v>
      </c>
      <c r="I8" s="35" t="s">
        <v>128</v>
      </c>
    </row>
    <row r="9" spans="1:10" ht="17" customHeight="1" x14ac:dyDescent="0.25">
      <c r="A9" s="15"/>
      <c r="B9" s="16"/>
      <c r="C9" s="16"/>
      <c r="D9" s="16"/>
      <c r="E9" s="17"/>
      <c r="F9" s="16"/>
      <c r="G9" s="16"/>
      <c r="H9" s="18"/>
      <c r="I9" s="16"/>
    </row>
    <row r="10" spans="1:10" ht="60.65" customHeight="1" x14ac:dyDescent="0.25">
      <c r="A10" s="15" t="s">
        <v>27</v>
      </c>
      <c r="B10" s="16" t="s">
        <v>36</v>
      </c>
      <c r="C10" s="16"/>
      <c r="D10" s="34" t="s">
        <v>37</v>
      </c>
      <c r="E10" s="17" t="s">
        <v>42</v>
      </c>
      <c r="F10" s="16" t="s">
        <v>38</v>
      </c>
      <c r="G10" s="17" t="s">
        <v>32</v>
      </c>
      <c r="H10" s="18" t="s">
        <v>1</v>
      </c>
      <c r="I10" s="35" t="s">
        <v>134</v>
      </c>
    </row>
    <row r="11" spans="1:10" ht="13.5" customHeight="1" x14ac:dyDescent="0.25">
      <c r="A11" s="15"/>
      <c r="B11" s="16"/>
      <c r="C11" s="16"/>
      <c r="D11" s="34"/>
      <c r="E11" s="17"/>
      <c r="F11" s="16"/>
      <c r="G11" s="16"/>
      <c r="H11" s="18"/>
      <c r="I11" s="35"/>
    </row>
    <row r="12" spans="1:10" ht="52" x14ac:dyDescent="0.25">
      <c r="A12" s="15" t="s">
        <v>44</v>
      </c>
      <c r="B12" s="16" t="s">
        <v>36</v>
      </c>
      <c r="C12" s="16"/>
      <c r="D12" s="34" t="s">
        <v>86</v>
      </c>
      <c r="E12" s="17" t="s">
        <v>84</v>
      </c>
      <c r="F12" s="16" t="s">
        <v>85</v>
      </c>
      <c r="G12" s="16" t="s">
        <v>85</v>
      </c>
      <c r="H12" s="18" t="s">
        <v>0</v>
      </c>
      <c r="I12" s="35" t="s">
        <v>135</v>
      </c>
    </row>
    <row r="13" spans="1:10" ht="13" x14ac:dyDescent="0.25">
      <c r="A13" s="15"/>
      <c r="B13" s="16"/>
      <c r="C13" s="16"/>
      <c r="D13" s="34"/>
      <c r="E13" s="17"/>
      <c r="F13" s="16"/>
      <c r="G13" s="16"/>
      <c r="H13" s="18"/>
      <c r="I13" s="35"/>
    </row>
    <row r="14" spans="1:10" ht="52" x14ac:dyDescent="0.25">
      <c r="A14" s="15" t="s">
        <v>45</v>
      </c>
      <c r="B14" s="16" t="s">
        <v>43</v>
      </c>
      <c r="C14" s="16"/>
      <c r="D14" s="16" t="s">
        <v>114</v>
      </c>
      <c r="E14" s="17" t="s">
        <v>117</v>
      </c>
      <c r="F14" s="16" t="s">
        <v>116</v>
      </c>
      <c r="G14" s="16" t="s">
        <v>116</v>
      </c>
      <c r="H14" s="18" t="s">
        <v>0</v>
      </c>
      <c r="I14" s="35" t="s">
        <v>129</v>
      </c>
    </row>
    <row r="15" spans="1:10" ht="13" x14ac:dyDescent="0.25">
      <c r="A15" s="15"/>
      <c r="B15" s="16"/>
      <c r="C15" s="16"/>
      <c r="D15" s="16"/>
      <c r="E15" s="17"/>
      <c r="F15" s="16"/>
      <c r="G15" s="16"/>
      <c r="H15" s="18"/>
      <c r="I15" s="35"/>
    </row>
    <row r="16" spans="1:10" ht="65" x14ac:dyDescent="0.25">
      <c r="A16" s="15" t="s">
        <v>46</v>
      </c>
      <c r="B16" s="16" t="s">
        <v>43</v>
      </c>
      <c r="C16" s="16"/>
      <c r="D16" s="34" t="s">
        <v>37</v>
      </c>
      <c r="E16" s="17" t="s">
        <v>88</v>
      </c>
      <c r="F16" s="16" t="s">
        <v>38</v>
      </c>
      <c r="G16" s="17" t="s">
        <v>32</v>
      </c>
      <c r="H16" s="18" t="s">
        <v>1</v>
      </c>
      <c r="I16" s="35" t="s">
        <v>136</v>
      </c>
    </row>
    <row r="17" spans="1:9" ht="13" x14ac:dyDescent="0.25">
      <c r="A17" s="15"/>
      <c r="B17" s="16"/>
      <c r="C17" s="16"/>
      <c r="D17" s="34"/>
      <c r="E17" s="17"/>
      <c r="F17" s="16"/>
      <c r="G17" s="16"/>
      <c r="H17" s="18"/>
      <c r="I17" s="35"/>
    </row>
    <row r="18" spans="1:9" ht="52" x14ac:dyDescent="0.25">
      <c r="A18" s="15" t="s">
        <v>47</v>
      </c>
      <c r="B18" s="16" t="s">
        <v>43</v>
      </c>
      <c r="C18" s="16"/>
      <c r="D18" s="34" t="s">
        <v>87</v>
      </c>
      <c r="E18" s="17" t="s">
        <v>89</v>
      </c>
      <c r="F18" s="16" t="s">
        <v>85</v>
      </c>
      <c r="G18" s="16" t="s">
        <v>85</v>
      </c>
      <c r="H18" s="18" t="s">
        <v>0</v>
      </c>
      <c r="I18" s="35" t="s">
        <v>137</v>
      </c>
    </row>
    <row r="19" spans="1:9" ht="13" x14ac:dyDescent="0.25">
      <c r="A19" s="15"/>
      <c r="B19" s="16"/>
      <c r="C19" s="16"/>
      <c r="D19" s="34"/>
      <c r="E19" s="17"/>
      <c r="F19" s="16"/>
      <c r="G19" s="16"/>
      <c r="H19" s="18"/>
      <c r="I19" s="30"/>
    </row>
    <row r="20" spans="1:9" ht="52" x14ac:dyDescent="0.25">
      <c r="A20" s="15" t="s">
        <v>48</v>
      </c>
      <c r="B20" s="16" t="s">
        <v>55</v>
      </c>
      <c r="C20" s="16"/>
      <c r="D20" s="16" t="s">
        <v>114</v>
      </c>
      <c r="E20" s="17" t="s">
        <v>118</v>
      </c>
      <c r="F20" s="16" t="s">
        <v>116</v>
      </c>
      <c r="G20" s="16" t="s">
        <v>116</v>
      </c>
      <c r="H20" s="18" t="s">
        <v>0</v>
      </c>
      <c r="I20" s="35" t="s">
        <v>130</v>
      </c>
    </row>
    <row r="21" spans="1:9" ht="13" x14ac:dyDescent="0.25">
      <c r="A21" s="15"/>
      <c r="B21" s="16"/>
      <c r="C21" s="16"/>
      <c r="D21" s="16"/>
      <c r="E21" s="17"/>
      <c r="F21" s="16"/>
      <c r="G21" s="16"/>
      <c r="H21" s="18"/>
      <c r="I21" s="30"/>
    </row>
    <row r="22" spans="1:9" ht="52" x14ac:dyDescent="0.25">
      <c r="A22" s="15" t="s">
        <v>49</v>
      </c>
      <c r="B22" s="16" t="s">
        <v>55</v>
      </c>
      <c r="C22" s="16"/>
      <c r="D22" s="26" t="s">
        <v>58</v>
      </c>
      <c r="E22" s="17" t="s">
        <v>56</v>
      </c>
      <c r="F22" s="16" t="s">
        <v>57</v>
      </c>
      <c r="G22" s="16" t="s">
        <v>90</v>
      </c>
      <c r="H22" s="18" t="s">
        <v>1</v>
      </c>
      <c r="I22" s="35" t="s">
        <v>138</v>
      </c>
    </row>
    <row r="23" spans="1:9" ht="13" x14ac:dyDescent="0.25">
      <c r="A23" s="15"/>
      <c r="B23" s="16"/>
      <c r="C23" s="16"/>
      <c r="D23" s="26"/>
      <c r="E23" s="17"/>
      <c r="F23" s="16"/>
      <c r="G23" s="16"/>
      <c r="H23" s="18"/>
      <c r="I23" s="35"/>
    </row>
    <row r="24" spans="1:9" ht="52" x14ac:dyDescent="0.25">
      <c r="A24" s="15" t="s">
        <v>50</v>
      </c>
      <c r="B24" s="16" t="s">
        <v>55</v>
      </c>
      <c r="C24" s="16"/>
      <c r="D24" s="26" t="s">
        <v>59</v>
      </c>
      <c r="E24" s="17" t="s">
        <v>60</v>
      </c>
      <c r="F24" s="16" t="s">
        <v>78</v>
      </c>
      <c r="G24" s="16" t="s">
        <v>78</v>
      </c>
      <c r="H24" s="18" t="s">
        <v>0</v>
      </c>
      <c r="I24" s="35" t="s">
        <v>153</v>
      </c>
    </row>
    <row r="25" spans="1:9" ht="13" x14ac:dyDescent="0.25">
      <c r="A25" s="15"/>
      <c r="B25" s="16"/>
      <c r="C25" s="16"/>
      <c r="D25" s="16"/>
      <c r="E25" s="16"/>
      <c r="F25" s="16"/>
      <c r="G25" s="16"/>
      <c r="H25" s="18"/>
      <c r="I25" s="30"/>
    </row>
    <row r="26" spans="1:9" ht="52" x14ac:dyDescent="0.25">
      <c r="A26" s="15" t="s">
        <v>51</v>
      </c>
      <c r="B26" s="16" t="s">
        <v>55</v>
      </c>
      <c r="C26" s="16"/>
      <c r="D26" s="43" t="s">
        <v>80</v>
      </c>
      <c r="E26" s="17" t="s">
        <v>81</v>
      </c>
      <c r="F26" s="16" t="s">
        <v>78</v>
      </c>
      <c r="G26" s="17" t="s">
        <v>71</v>
      </c>
      <c r="H26" s="18" t="s">
        <v>1</v>
      </c>
      <c r="I26" s="35" t="s">
        <v>112</v>
      </c>
    </row>
    <row r="27" spans="1:9" ht="13" x14ac:dyDescent="0.25">
      <c r="A27" s="15"/>
      <c r="B27" s="16"/>
      <c r="C27" s="16"/>
      <c r="D27" s="16"/>
      <c r="E27" s="16"/>
      <c r="F27" s="16"/>
      <c r="G27" s="16"/>
      <c r="H27" s="18"/>
      <c r="I27" s="35"/>
    </row>
    <row r="28" spans="1:9" ht="52" x14ac:dyDescent="0.25">
      <c r="A28" s="15" t="s">
        <v>52</v>
      </c>
      <c r="B28" s="16" t="s">
        <v>55</v>
      </c>
      <c r="C28" s="16"/>
      <c r="D28" s="27" t="s">
        <v>139</v>
      </c>
      <c r="E28" s="16" t="s">
        <v>82</v>
      </c>
      <c r="F28" s="16" t="s">
        <v>78</v>
      </c>
      <c r="G28" s="16" t="s">
        <v>78</v>
      </c>
      <c r="H28" s="18" t="s">
        <v>0</v>
      </c>
      <c r="I28" s="35" t="s">
        <v>141</v>
      </c>
    </row>
    <row r="29" spans="1:9" ht="13" x14ac:dyDescent="0.25">
      <c r="A29" s="15"/>
      <c r="B29" s="16"/>
      <c r="C29" s="16"/>
      <c r="D29" s="26"/>
      <c r="E29" s="16"/>
      <c r="F29" s="16"/>
      <c r="G29" s="16"/>
      <c r="H29" s="18"/>
      <c r="I29" s="31"/>
    </row>
    <row r="30" spans="1:9" ht="52" x14ac:dyDescent="0.25">
      <c r="A30" s="15" t="s">
        <v>53</v>
      </c>
      <c r="B30" s="16" t="s">
        <v>55</v>
      </c>
      <c r="C30" s="16"/>
      <c r="D30" s="16" t="s">
        <v>91</v>
      </c>
      <c r="E30" s="16" t="s">
        <v>83</v>
      </c>
      <c r="F30" s="16" t="s">
        <v>78</v>
      </c>
      <c r="G30" s="16" t="s">
        <v>71</v>
      </c>
      <c r="H30" s="18" t="s">
        <v>1</v>
      </c>
      <c r="I30" s="39" t="s">
        <v>113</v>
      </c>
    </row>
    <row r="31" spans="1:9" ht="13" x14ac:dyDescent="0.25">
      <c r="A31" s="15"/>
      <c r="B31" s="16"/>
      <c r="C31" s="16"/>
      <c r="D31" s="16"/>
      <c r="E31" s="16"/>
      <c r="F31" s="16"/>
      <c r="G31" s="16"/>
      <c r="H31" s="18"/>
      <c r="I31" s="39"/>
    </row>
    <row r="32" spans="1:9" ht="52" x14ac:dyDescent="0.25">
      <c r="A32" s="15" t="s">
        <v>54</v>
      </c>
      <c r="B32" s="16" t="s">
        <v>62</v>
      </c>
      <c r="C32" s="16"/>
      <c r="D32" s="26" t="s">
        <v>140</v>
      </c>
      <c r="E32" s="17" t="s">
        <v>64</v>
      </c>
      <c r="F32" s="16" t="s">
        <v>61</v>
      </c>
      <c r="G32" s="16" t="s">
        <v>71</v>
      </c>
      <c r="H32" s="18" t="s">
        <v>16</v>
      </c>
      <c r="I32" s="35" t="s">
        <v>142</v>
      </c>
    </row>
    <row r="33" spans="1:9" ht="13" x14ac:dyDescent="0.25">
      <c r="A33" s="15"/>
      <c r="B33" s="16"/>
      <c r="C33" s="16"/>
      <c r="D33" s="26"/>
      <c r="E33" s="17"/>
      <c r="F33" s="16"/>
      <c r="G33" s="16"/>
      <c r="H33" s="18"/>
      <c r="I33" s="32"/>
    </row>
    <row r="34" spans="1:9" ht="52" x14ac:dyDescent="0.25">
      <c r="A34" s="15" t="s">
        <v>98</v>
      </c>
      <c r="B34" s="16" t="s">
        <v>62</v>
      </c>
      <c r="C34" s="16"/>
      <c r="D34" s="16" t="s">
        <v>92</v>
      </c>
      <c r="E34" s="17" t="s">
        <v>95</v>
      </c>
      <c r="F34" s="16" t="s">
        <v>71</v>
      </c>
      <c r="G34" s="16" t="s">
        <v>71</v>
      </c>
      <c r="H34" s="18" t="s">
        <v>0</v>
      </c>
      <c r="I34" s="35" t="s">
        <v>154</v>
      </c>
    </row>
    <row r="35" spans="1:9" ht="13" x14ac:dyDescent="0.25">
      <c r="A35" s="15"/>
      <c r="B35" s="16"/>
      <c r="C35" s="16"/>
      <c r="D35" s="16"/>
      <c r="E35" s="17"/>
      <c r="F35" s="16"/>
      <c r="G35" s="16"/>
      <c r="H35" s="18"/>
      <c r="I35" s="32"/>
    </row>
    <row r="36" spans="1:9" ht="52" x14ac:dyDescent="0.25">
      <c r="A36" s="15" t="s">
        <v>99</v>
      </c>
      <c r="B36" s="16" t="s">
        <v>62</v>
      </c>
      <c r="C36" s="16"/>
      <c r="D36" s="16" t="s">
        <v>93</v>
      </c>
      <c r="E36" s="17" t="s">
        <v>96</v>
      </c>
      <c r="F36" s="16" t="s">
        <v>71</v>
      </c>
      <c r="G36" s="16" t="s">
        <v>71</v>
      </c>
      <c r="H36" s="18" t="s">
        <v>0</v>
      </c>
      <c r="I36" s="35" t="s">
        <v>155</v>
      </c>
    </row>
    <row r="37" spans="1:9" ht="13" x14ac:dyDescent="0.25">
      <c r="A37" s="15"/>
      <c r="B37" s="16"/>
      <c r="C37" s="16"/>
      <c r="D37" s="16"/>
      <c r="E37" s="17"/>
      <c r="F37" s="16"/>
      <c r="G37" s="16"/>
      <c r="H37" s="18"/>
      <c r="I37" s="33"/>
    </row>
    <row r="38" spans="1:9" ht="52" x14ac:dyDescent="0.25">
      <c r="A38" s="15" t="s">
        <v>100</v>
      </c>
      <c r="B38" s="16" t="s">
        <v>62</v>
      </c>
      <c r="C38" s="16"/>
      <c r="D38" s="16" t="s">
        <v>94</v>
      </c>
      <c r="E38" s="17" t="s">
        <v>97</v>
      </c>
      <c r="F38" s="16" t="s">
        <v>71</v>
      </c>
      <c r="G38" s="16" t="s">
        <v>71</v>
      </c>
      <c r="H38" s="18" t="s">
        <v>0</v>
      </c>
      <c r="I38" s="35" t="s">
        <v>143</v>
      </c>
    </row>
    <row r="39" spans="1:9" ht="13" x14ac:dyDescent="0.25">
      <c r="A39" s="15"/>
      <c r="B39" s="16"/>
      <c r="C39" s="16"/>
      <c r="D39" s="16"/>
      <c r="E39" s="17"/>
      <c r="F39" s="16"/>
      <c r="G39" s="16"/>
      <c r="H39" s="18"/>
      <c r="I39" s="32"/>
    </row>
    <row r="40" spans="1:9" ht="52" x14ac:dyDescent="0.25">
      <c r="A40" s="15" t="s">
        <v>101</v>
      </c>
      <c r="B40" s="16" t="s">
        <v>63</v>
      </c>
      <c r="C40" s="16"/>
      <c r="D40" s="16" t="s">
        <v>114</v>
      </c>
      <c r="E40" s="17" t="s">
        <v>119</v>
      </c>
      <c r="F40" s="16" t="s">
        <v>116</v>
      </c>
      <c r="G40" s="16" t="s">
        <v>116</v>
      </c>
      <c r="H40" s="18" t="s">
        <v>0</v>
      </c>
      <c r="I40" s="35" t="s">
        <v>131</v>
      </c>
    </row>
    <row r="41" spans="1:9" ht="13" x14ac:dyDescent="0.25">
      <c r="A41" s="15"/>
      <c r="B41" s="16"/>
      <c r="C41" s="16"/>
      <c r="D41" s="16"/>
      <c r="E41" s="17"/>
      <c r="F41" s="16"/>
      <c r="G41" s="16"/>
      <c r="H41" s="18"/>
      <c r="I41" s="32"/>
    </row>
    <row r="42" spans="1:9" ht="52" x14ac:dyDescent="0.25">
      <c r="A42" s="15" t="s">
        <v>104</v>
      </c>
      <c r="B42" s="16" t="s">
        <v>63</v>
      </c>
      <c r="C42" s="16"/>
      <c r="D42" s="26" t="s">
        <v>144</v>
      </c>
      <c r="E42" s="17" t="s">
        <v>67</v>
      </c>
      <c r="F42" s="16" t="s">
        <v>61</v>
      </c>
      <c r="G42" s="16" t="s">
        <v>61</v>
      </c>
      <c r="H42" s="18" t="s">
        <v>0</v>
      </c>
      <c r="I42" s="35" t="s">
        <v>145</v>
      </c>
    </row>
    <row r="43" spans="1:9" ht="13" x14ac:dyDescent="0.25">
      <c r="A43" s="15"/>
      <c r="B43" s="16"/>
      <c r="C43" s="16"/>
      <c r="D43" s="26"/>
      <c r="E43" s="17"/>
      <c r="F43" s="16"/>
      <c r="G43" s="16"/>
      <c r="H43" s="18"/>
      <c r="I43" s="33"/>
    </row>
    <row r="44" spans="1:9" ht="52" x14ac:dyDescent="0.25">
      <c r="A44" s="15" t="s">
        <v>109</v>
      </c>
      <c r="B44" s="16" t="s">
        <v>63</v>
      </c>
      <c r="C44" s="16"/>
      <c r="D44" s="26" t="s">
        <v>66</v>
      </c>
      <c r="E44" s="17" t="s">
        <v>65</v>
      </c>
      <c r="F44" s="16" t="s">
        <v>61</v>
      </c>
      <c r="G44" s="16" t="s">
        <v>61</v>
      </c>
      <c r="H44" s="18" t="s">
        <v>0</v>
      </c>
      <c r="I44" s="35" t="s">
        <v>146</v>
      </c>
    </row>
    <row r="45" spans="1:9" ht="13" x14ac:dyDescent="0.25">
      <c r="A45" s="15"/>
      <c r="B45" s="16"/>
      <c r="C45" s="16"/>
      <c r="D45" s="26"/>
      <c r="E45" s="17"/>
      <c r="F45" s="16"/>
      <c r="G45" s="16"/>
      <c r="H45" s="18"/>
      <c r="I45" s="32"/>
    </row>
    <row r="46" spans="1:9" ht="52" x14ac:dyDescent="0.25">
      <c r="A46" s="15" t="s">
        <v>110</v>
      </c>
      <c r="B46" s="16" t="s">
        <v>63</v>
      </c>
      <c r="C46" s="16"/>
      <c r="D46" s="25" t="s">
        <v>68</v>
      </c>
      <c r="E46" s="17" t="s">
        <v>69</v>
      </c>
      <c r="F46" s="16" t="s">
        <v>70</v>
      </c>
      <c r="G46" s="17" t="s">
        <v>71</v>
      </c>
      <c r="H46" s="18" t="s">
        <v>16</v>
      </c>
      <c r="I46" s="35" t="s">
        <v>147</v>
      </c>
    </row>
    <row r="47" spans="1:9" ht="13" x14ac:dyDescent="0.25">
      <c r="A47" s="15"/>
      <c r="B47" s="16"/>
      <c r="C47" s="16"/>
      <c r="D47" s="25"/>
      <c r="E47" s="17"/>
      <c r="F47" s="16"/>
      <c r="G47" s="17"/>
      <c r="H47" s="18"/>
      <c r="I47" s="32"/>
    </row>
    <row r="48" spans="1:9" ht="52" x14ac:dyDescent="0.25">
      <c r="A48" s="15" t="s">
        <v>111</v>
      </c>
      <c r="B48" s="16" t="s">
        <v>63</v>
      </c>
      <c r="C48" s="16"/>
      <c r="D48" s="25" t="s">
        <v>102</v>
      </c>
      <c r="E48" s="17" t="s">
        <v>103</v>
      </c>
      <c r="F48" s="17" t="s">
        <v>71</v>
      </c>
      <c r="G48" s="17" t="s">
        <v>71</v>
      </c>
      <c r="H48" s="18" t="s">
        <v>0</v>
      </c>
      <c r="I48" s="35" t="s">
        <v>148</v>
      </c>
    </row>
    <row r="49" spans="1:9" ht="13" x14ac:dyDescent="0.25">
      <c r="A49" s="15"/>
      <c r="B49" s="16"/>
      <c r="C49" s="16"/>
      <c r="D49" s="25"/>
      <c r="E49" s="17"/>
      <c r="F49" s="16"/>
      <c r="G49" s="16"/>
      <c r="H49" s="18"/>
      <c r="I49" s="33"/>
    </row>
    <row r="50" spans="1:9" ht="52" x14ac:dyDescent="0.25">
      <c r="A50" s="15" t="s">
        <v>122</v>
      </c>
      <c r="B50" s="16" t="s">
        <v>72</v>
      </c>
      <c r="C50" s="16"/>
      <c r="D50" s="16" t="s">
        <v>114</v>
      </c>
      <c r="E50" s="17" t="s">
        <v>120</v>
      </c>
      <c r="F50" s="16" t="s">
        <v>116</v>
      </c>
      <c r="G50" s="16" t="s">
        <v>116</v>
      </c>
      <c r="H50" s="18" t="s">
        <v>0</v>
      </c>
      <c r="I50" s="35" t="s">
        <v>132</v>
      </c>
    </row>
    <row r="51" spans="1:9" ht="13" x14ac:dyDescent="0.25">
      <c r="A51" s="15"/>
      <c r="B51" s="16"/>
      <c r="C51" s="16"/>
      <c r="D51" s="16"/>
      <c r="E51" s="17"/>
      <c r="F51" s="16"/>
      <c r="G51" s="16"/>
      <c r="H51" s="18"/>
      <c r="I51" s="33"/>
    </row>
    <row r="52" spans="1:9" ht="65" x14ac:dyDescent="0.25">
      <c r="A52" s="15" t="s">
        <v>123</v>
      </c>
      <c r="B52" s="16" t="s">
        <v>72</v>
      </c>
      <c r="C52" s="17"/>
      <c r="D52" s="25" t="s">
        <v>105</v>
      </c>
      <c r="E52" s="17" t="s">
        <v>106</v>
      </c>
      <c r="F52" s="17" t="s">
        <v>71</v>
      </c>
      <c r="G52" s="17" t="s">
        <v>71</v>
      </c>
      <c r="H52" s="18" t="s">
        <v>0</v>
      </c>
      <c r="I52" s="35" t="s">
        <v>152</v>
      </c>
    </row>
    <row r="53" spans="1:9" ht="13" x14ac:dyDescent="0.25">
      <c r="A53" s="15"/>
      <c r="B53" s="16"/>
      <c r="C53" s="16"/>
      <c r="D53" s="25"/>
      <c r="E53" s="17"/>
      <c r="F53" s="16"/>
      <c r="G53" s="16"/>
      <c r="H53" s="18"/>
      <c r="I53" s="32"/>
    </row>
    <row r="54" spans="1:9" ht="65" x14ac:dyDescent="0.25">
      <c r="A54" s="15" t="s">
        <v>124</v>
      </c>
      <c r="B54" s="16" t="s">
        <v>72</v>
      </c>
      <c r="C54" s="16"/>
      <c r="D54" s="27" t="s">
        <v>73</v>
      </c>
      <c r="E54" s="17" t="s">
        <v>74</v>
      </c>
      <c r="F54" s="16" t="s">
        <v>78</v>
      </c>
      <c r="G54" s="16" t="s">
        <v>78</v>
      </c>
      <c r="H54" s="18" t="s">
        <v>0</v>
      </c>
      <c r="I54" s="35" t="s">
        <v>151</v>
      </c>
    </row>
    <row r="55" spans="1:9" ht="13" x14ac:dyDescent="0.25">
      <c r="A55" s="15"/>
      <c r="B55" s="16"/>
      <c r="C55" s="16"/>
      <c r="D55" s="26"/>
      <c r="E55" s="17"/>
      <c r="F55" s="16"/>
      <c r="G55" s="16"/>
      <c r="H55" s="18"/>
      <c r="I55" s="32"/>
    </row>
    <row r="56" spans="1:9" ht="52" x14ac:dyDescent="0.25">
      <c r="A56" s="15" t="s">
        <v>125</v>
      </c>
      <c r="B56" s="16" t="s">
        <v>75</v>
      </c>
      <c r="C56" s="16"/>
      <c r="D56" s="16" t="s">
        <v>114</v>
      </c>
      <c r="E56" s="17" t="s">
        <v>121</v>
      </c>
      <c r="F56" s="16" t="s">
        <v>116</v>
      </c>
      <c r="G56" s="16" t="s">
        <v>116</v>
      </c>
      <c r="H56" s="18" t="s">
        <v>0</v>
      </c>
      <c r="I56" s="35" t="s">
        <v>133</v>
      </c>
    </row>
    <row r="57" spans="1:9" ht="13" x14ac:dyDescent="0.25">
      <c r="A57" s="15"/>
      <c r="B57" s="16"/>
      <c r="C57" s="16"/>
      <c r="D57" s="16"/>
      <c r="E57" s="17"/>
      <c r="F57" s="16"/>
      <c r="G57" s="16"/>
      <c r="H57" s="18"/>
      <c r="I57" s="32"/>
    </row>
    <row r="58" spans="1:9" ht="52" x14ac:dyDescent="0.25">
      <c r="A58" s="15" t="s">
        <v>126</v>
      </c>
      <c r="B58" s="16" t="s">
        <v>75</v>
      </c>
      <c r="C58" s="16"/>
      <c r="D58" s="26" t="s">
        <v>107</v>
      </c>
      <c r="E58" s="17" t="s">
        <v>108</v>
      </c>
      <c r="F58" s="17" t="s">
        <v>71</v>
      </c>
      <c r="G58" s="17" t="s">
        <v>71</v>
      </c>
      <c r="H58" s="18" t="s">
        <v>0</v>
      </c>
      <c r="I58" s="35" t="s">
        <v>150</v>
      </c>
    </row>
    <row r="59" spans="1:9" ht="13" x14ac:dyDescent="0.25">
      <c r="A59" s="15"/>
      <c r="B59" s="16"/>
      <c r="C59" s="16"/>
      <c r="D59" s="26"/>
      <c r="E59" s="17"/>
      <c r="F59" s="16"/>
      <c r="G59" s="16"/>
      <c r="H59" s="18"/>
      <c r="I59" s="33"/>
    </row>
    <row r="60" spans="1:9" ht="52" x14ac:dyDescent="0.25">
      <c r="A60" s="15" t="s">
        <v>127</v>
      </c>
      <c r="B60" s="16" t="s">
        <v>75</v>
      </c>
      <c r="C60" s="17"/>
      <c r="D60" s="26" t="s">
        <v>76</v>
      </c>
      <c r="E60" s="17" t="s">
        <v>77</v>
      </c>
      <c r="F60" s="16" t="s">
        <v>78</v>
      </c>
      <c r="G60" s="16" t="s">
        <v>78</v>
      </c>
      <c r="H60" s="18" t="s">
        <v>0</v>
      </c>
      <c r="I60" s="35" t="s">
        <v>149</v>
      </c>
    </row>
    <row r="61" spans="1:9" ht="13" x14ac:dyDescent="0.25">
      <c r="A61" s="15"/>
      <c r="B61" s="16"/>
      <c r="C61" s="16"/>
      <c r="D61" s="27"/>
      <c r="E61" s="16"/>
      <c r="F61" s="16"/>
      <c r="G61" s="17"/>
      <c r="H61" s="18"/>
      <c r="I61" s="32"/>
    </row>
    <row r="62" spans="1:9" ht="13" x14ac:dyDescent="0.25">
      <c r="A62" s="15"/>
      <c r="B62" s="16"/>
      <c r="C62" s="16"/>
      <c r="D62" s="29"/>
      <c r="E62" s="17"/>
      <c r="F62" s="16"/>
      <c r="G62" s="17"/>
      <c r="H62" s="18"/>
      <c r="I62" s="33"/>
    </row>
    <row r="63" spans="1:9" ht="13" x14ac:dyDescent="0.25">
      <c r="A63" s="19"/>
      <c r="B63" s="17"/>
      <c r="C63" s="17"/>
      <c r="D63" s="27"/>
      <c r="E63" s="16"/>
      <c r="F63" s="17"/>
      <c r="G63" s="17"/>
      <c r="H63" s="18"/>
      <c r="I63" s="32"/>
    </row>
    <row r="64" spans="1:9" ht="13" x14ac:dyDescent="0.25">
      <c r="A64" s="15"/>
      <c r="B64" s="16"/>
      <c r="C64" s="16"/>
      <c r="D64" s="27"/>
      <c r="E64" s="16"/>
      <c r="F64" s="16"/>
      <c r="G64" s="17"/>
      <c r="H64" s="18"/>
      <c r="I64" s="32"/>
    </row>
    <row r="65" spans="1:9" ht="13" x14ac:dyDescent="0.25">
      <c r="A65" s="15"/>
      <c r="B65" s="16"/>
      <c r="C65" s="16"/>
      <c r="D65" s="28"/>
      <c r="E65" s="17"/>
      <c r="F65" s="16"/>
      <c r="G65" s="17"/>
      <c r="H65" s="18"/>
      <c r="I65" s="33"/>
    </row>
    <row r="66" spans="1:9" ht="13" x14ac:dyDescent="0.25">
      <c r="A66" s="19"/>
      <c r="B66" s="17"/>
      <c r="C66" s="17"/>
      <c r="D66" s="27"/>
      <c r="E66" s="16"/>
      <c r="F66" s="17"/>
      <c r="G66" s="17"/>
      <c r="H66" s="18"/>
      <c r="I66" s="32"/>
    </row>
    <row r="67" spans="1:9" ht="13" x14ac:dyDescent="0.25">
      <c r="A67" s="15"/>
      <c r="B67" s="16"/>
      <c r="C67" s="16"/>
      <c r="D67" s="27"/>
      <c r="E67" s="16"/>
      <c r="F67" s="16"/>
      <c r="G67" s="17"/>
      <c r="H67" s="18"/>
      <c r="I67" s="32"/>
    </row>
    <row r="68" spans="1:9" ht="13" x14ac:dyDescent="0.25">
      <c r="A68" s="15"/>
      <c r="B68" s="16"/>
      <c r="C68" s="16"/>
      <c r="D68" s="28"/>
      <c r="E68" s="17"/>
      <c r="F68" s="16"/>
      <c r="G68" s="17"/>
      <c r="H68" s="18"/>
      <c r="I68" s="33"/>
    </row>
    <row r="69" spans="1:9" ht="15.75" customHeight="1" x14ac:dyDescent="0.25">
      <c r="A69" s="19"/>
      <c r="B69" s="17"/>
      <c r="C69" s="17"/>
      <c r="D69" s="27"/>
      <c r="E69" s="16"/>
      <c r="F69" s="17"/>
      <c r="G69" s="17"/>
      <c r="H69" s="17"/>
      <c r="I69" s="32"/>
    </row>
    <row r="70" spans="1:9" ht="30.75" customHeight="1" x14ac:dyDescent="0.25">
      <c r="A70" s="15"/>
      <c r="B70" s="16"/>
      <c r="C70" s="16"/>
      <c r="D70" s="27"/>
      <c r="E70" s="16"/>
      <c r="F70" s="16"/>
      <c r="G70" s="17"/>
      <c r="H70" s="17"/>
      <c r="I70" s="32"/>
    </row>
    <row r="71" spans="1:9" ht="15.75" customHeight="1" x14ac:dyDescent="0.25">
      <c r="A71" s="15"/>
      <c r="B71" s="16"/>
      <c r="C71" s="16"/>
      <c r="D71" s="28"/>
      <c r="E71" s="17"/>
      <c r="F71" s="16"/>
      <c r="G71" s="17"/>
      <c r="H71" s="18"/>
      <c r="I71" s="33"/>
    </row>
    <row r="72" spans="1:9" ht="15.75" customHeight="1" x14ac:dyDescent="0.25">
      <c r="A72" s="19"/>
      <c r="B72" s="17"/>
      <c r="C72" s="17"/>
      <c r="D72" s="27"/>
      <c r="E72" s="16"/>
      <c r="F72" s="17"/>
      <c r="G72" s="17"/>
      <c r="H72" s="17"/>
      <c r="I72" s="32"/>
    </row>
    <row r="73" spans="1:9" ht="30.75" customHeight="1" x14ac:dyDescent="0.25">
      <c r="A73" s="15"/>
      <c r="B73" s="16"/>
      <c r="C73" s="16"/>
      <c r="D73" s="27"/>
      <c r="E73" s="16"/>
      <c r="F73" s="16"/>
      <c r="G73" s="17"/>
      <c r="H73" s="17"/>
      <c r="I73" s="32"/>
    </row>
    <row r="74" spans="1:9" ht="15.75" customHeight="1" x14ac:dyDescent="0.25">
      <c r="A74" s="15"/>
      <c r="B74" s="16"/>
      <c r="C74" s="16"/>
      <c r="D74" s="29"/>
      <c r="E74" s="17"/>
      <c r="F74" s="16"/>
      <c r="G74" s="17"/>
      <c r="H74" s="18"/>
      <c r="I74" s="33"/>
    </row>
    <row r="75" spans="1:9" ht="15.75" customHeight="1" x14ac:dyDescent="0.25">
      <c r="A75" s="19"/>
      <c r="B75" s="17"/>
      <c r="C75" s="17"/>
      <c r="D75" s="24"/>
      <c r="E75" s="16"/>
      <c r="F75" s="17"/>
      <c r="G75" s="17"/>
      <c r="H75" s="17"/>
      <c r="I75" s="32"/>
    </row>
    <row r="76" spans="1:9" ht="31.5" customHeight="1" x14ac:dyDescent="0.25">
      <c r="A76" s="15"/>
      <c r="B76" s="16"/>
      <c r="C76" s="16"/>
      <c r="D76" s="27"/>
      <c r="E76" s="16"/>
      <c r="F76" s="16"/>
      <c r="G76" s="17"/>
      <c r="H76" s="17"/>
      <c r="I76" s="32"/>
    </row>
    <row r="77" spans="1:9" ht="15.75" customHeight="1" x14ac:dyDescent="0.25">
      <c r="A77" s="15"/>
      <c r="B77" s="16"/>
      <c r="C77" s="16"/>
      <c r="D77" s="28"/>
      <c r="E77" s="17"/>
      <c r="F77" s="16"/>
      <c r="G77" s="17"/>
      <c r="H77" s="18"/>
      <c r="I77" s="33"/>
    </row>
    <row r="78" spans="1:9" ht="15.75" customHeight="1" x14ac:dyDescent="0.25">
      <c r="A78" s="19"/>
      <c r="B78" s="17"/>
      <c r="C78" s="17"/>
      <c r="D78" s="27"/>
      <c r="E78" s="16"/>
      <c r="F78" s="17"/>
      <c r="G78" s="17"/>
      <c r="H78" s="17"/>
      <c r="I78" s="32"/>
    </row>
    <row r="79" spans="1:9" ht="37.5" customHeight="1" x14ac:dyDescent="0.25">
      <c r="A79" s="15"/>
      <c r="B79" s="16"/>
      <c r="C79" s="16"/>
      <c r="D79" s="27"/>
      <c r="E79" s="16"/>
      <c r="F79" s="16"/>
      <c r="G79" s="17"/>
      <c r="H79" s="17"/>
      <c r="I79" s="32"/>
    </row>
    <row r="80" spans="1:9" ht="15.75" customHeight="1" x14ac:dyDescent="0.25">
      <c r="A80" s="15"/>
      <c r="B80" s="16"/>
      <c r="C80" s="16"/>
      <c r="D80" s="28"/>
      <c r="E80" s="17"/>
      <c r="F80" s="16"/>
      <c r="G80" s="17"/>
      <c r="H80" s="18"/>
      <c r="I80" s="33"/>
    </row>
    <row r="81" spans="1:9" ht="15.75" customHeight="1" x14ac:dyDescent="0.25">
      <c r="A81" s="19"/>
      <c r="B81" s="17"/>
      <c r="C81" s="17"/>
      <c r="D81" s="27"/>
      <c r="E81" s="16"/>
      <c r="F81" s="17"/>
      <c r="G81" s="17"/>
      <c r="H81" s="17"/>
      <c r="I81" s="32"/>
    </row>
    <row r="82" spans="1:9" ht="38.25" customHeight="1" x14ac:dyDescent="0.25">
      <c r="A82" s="15"/>
      <c r="B82" s="16"/>
      <c r="C82" s="16"/>
      <c r="D82" s="27"/>
      <c r="E82" s="16"/>
      <c r="F82" s="16"/>
      <c r="G82" s="17"/>
      <c r="H82" s="17"/>
      <c r="I82" s="32"/>
    </row>
    <row r="83" spans="1:9" ht="30.75" customHeight="1" x14ac:dyDescent="0.25"/>
    <row r="84" spans="1:9" ht="15.75" customHeight="1" x14ac:dyDescent="0.25"/>
    <row r="85" spans="1:9" ht="15.75" customHeight="1" x14ac:dyDescent="0.25"/>
    <row r="86" spans="1:9" ht="15.75" customHeight="1" x14ac:dyDescent="0.25"/>
    <row r="87" spans="1:9" ht="15.75" customHeight="1" x14ac:dyDescent="0.25"/>
    <row r="88" spans="1:9" ht="15.75" customHeight="1" x14ac:dyDescent="0.25"/>
    <row r="89" spans="1:9" ht="15.75" customHeight="1" x14ac:dyDescent="0.25"/>
    <row r="90" spans="1:9" ht="15.75" customHeight="1" x14ac:dyDescent="0.25"/>
    <row r="91" spans="1:9" ht="15.75" customHeight="1" x14ac:dyDescent="0.25"/>
    <row r="92" spans="1:9" ht="15.75" customHeight="1" x14ac:dyDescent="0.25"/>
    <row r="93" spans="1:9" ht="15.75" customHeight="1" x14ac:dyDescent="0.25"/>
    <row r="94" spans="1:9" ht="15.75" customHeight="1" x14ac:dyDescent="0.25"/>
    <row r="95" spans="1:9" ht="15.75" customHeight="1" x14ac:dyDescent="0.25"/>
    <row r="96" spans="1: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0" type="noConversion"/>
  <conditionalFormatting sqref="H61:H68">
    <cfRule type="cellIs" dxfId="51" priority="57" operator="equal">
      <formula>"FAIL"</formula>
    </cfRule>
  </conditionalFormatting>
  <conditionalFormatting sqref="H61:H68">
    <cfRule type="cellIs" dxfId="50" priority="58" operator="equal">
      <formula>"PASS"</formula>
    </cfRule>
  </conditionalFormatting>
  <conditionalFormatting sqref="H61:H68">
    <cfRule type="cellIs" dxfId="49" priority="59" operator="equal">
      <formula>"WARNING"</formula>
    </cfRule>
  </conditionalFormatting>
  <conditionalFormatting sqref="H61:H68">
    <cfRule type="containsBlanks" dxfId="48" priority="60">
      <formula>LEN(TRIM(H61))=0</formula>
    </cfRule>
  </conditionalFormatting>
  <conditionalFormatting sqref="H71">
    <cfRule type="cellIs" dxfId="47" priority="53" operator="equal">
      <formula>"FAIL"</formula>
    </cfRule>
  </conditionalFormatting>
  <conditionalFormatting sqref="H71">
    <cfRule type="cellIs" dxfId="46" priority="54" operator="equal">
      <formula>"PASS"</formula>
    </cfRule>
  </conditionalFormatting>
  <conditionalFormatting sqref="H71">
    <cfRule type="cellIs" dxfId="45" priority="55" operator="equal">
      <formula>"WARNING"</formula>
    </cfRule>
  </conditionalFormatting>
  <conditionalFormatting sqref="H71">
    <cfRule type="containsBlanks" dxfId="44" priority="56">
      <formula>LEN(TRIM(H71))=0</formula>
    </cfRule>
  </conditionalFormatting>
  <conditionalFormatting sqref="H74">
    <cfRule type="cellIs" dxfId="43" priority="49" operator="equal">
      <formula>"FAIL"</formula>
    </cfRule>
  </conditionalFormatting>
  <conditionalFormatting sqref="H74">
    <cfRule type="cellIs" dxfId="42" priority="50" operator="equal">
      <formula>"PASS"</formula>
    </cfRule>
  </conditionalFormatting>
  <conditionalFormatting sqref="H74">
    <cfRule type="cellIs" dxfId="41" priority="51" operator="equal">
      <formula>"WARNING"</formula>
    </cfRule>
  </conditionalFormatting>
  <conditionalFormatting sqref="H74">
    <cfRule type="containsBlanks" dxfId="40" priority="52">
      <formula>LEN(TRIM(H74))=0</formula>
    </cfRule>
  </conditionalFormatting>
  <conditionalFormatting sqref="I2">
    <cfRule type="cellIs" dxfId="39" priority="45" operator="equal">
      <formula>"FAIL"</formula>
    </cfRule>
  </conditionalFormatting>
  <conditionalFormatting sqref="I2">
    <cfRule type="cellIs" dxfId="38" priority="46" operator="equal">
      <formula>"PASS"</formula>
    </cfRule>
  </conditionalFormatting>
  <conditionalFormatting sqref="I2">
    <cfRule type="cellIs" dxfId="37" priority="47" operator="equal">
      <formula>"WARNING"</formula>
    </cfRule>
  </conditionalFormatting>
  <conditionalFormatting sqref="I2">
    <cfRule type="containsBlanks" dxfId="36" priority="48">
      <formula>LEN(TRIM(I2))=0</formula>
    </cfRule>
  </conditionalFormatting>
  <conditionalFormatting sqref="I3">
    <cfRule type="cellIs" dxfId="35" priority="41" operator="equal">
      <formula>"FAIL"</formula>
    </cfRule>
  </conditionalFormatting>
  <conditionalFormatting sqref="I3">
    <cfRule type="cellIs" dxfId="34" priority="42" operator="equal">
      <formula>"PASS"</formula>
    </cfRule>
  </conditionalFormatting>
  <conditionalFormatting sqref="I3">
    <cfRule type="cellIs" dxfId="33" priority="43" operator="equal">
      <formula>"WARNING"</formula>
    </cfRule>
  </conditionalFormatting>
  <conditionalFormatting sqref="I3">
    <cfRule type="containsBlanks" dxfId="32" priority="44">
      <formula>LEN(TRIM(I3))=0</formula>
    </cfRule>
  </conditionalFormatting>
  <conditionalFormatting sqref="H10:H11">
    <cfRule type="cellIs" dxfId="31" priority="37" operator="equal">
      <formula>"FAIL"</formula>
    </cfRule>
  </conditionalFormatting>
  <conditionalFormatting sqref="H10:H11">
    <cfRule type="cellIs" dxfId="30" priority="38" operator="equal">
      <formula>"PASS"</formula>
    </cfRule>
  </conditionalFormatting>
  <conditionalFormatting sqref="H10:H11">
    <cfRule type="cellIs" dxfId="29" priority="39" operator="equal">
      <formula>"WARNING"</formula>
    </cfRule>
  </conditionalFormatting>
  <conditionalFormatting sqref="H10:H11">
    <cfRule type="containsBlanks" dxfId="28" priority="40">
      <formula>LEN(TRIM(H10))=0</formula>
    </cfRule>
  </conditionalFormatting>
  <conditionalFormatting sqref="H77">
    <cfRule type="cellIs" dxfId="27" priority="25" operator="equal">
      <formula>"FAIL"</formula>
    </cfRule>
  </conditionalFormatting>
  <conditionalFormatting sqref="H77">
    <cfRule type="cellIs" dxfId="26" priority="26" operator="equal">
      <formula>"PASS"</formula>
    </cfRule>
  </conditionalFormatting>
  <conditionalFormatting sqref="H77">
    <cfRule type="cellIs" dxfId="25" priority="27" operator="equal">
      <formula>"WARNING"</formula>
    </cfRule>
  </conditionalFormatting>
  <conditionalFormatting sqref="H77">
    <cfRule type="containsBlanks" dxfId="24" priority="28">
      <formula>LEN(TRIM(H77))=0</formula>
    </cfRule>
  </conditionalFormatting>
  <conditionalFormatting sqref="H80">
    <cfRule type="cellIs" dxfId="23" priority="21" operator="equal">
      <formula>"FAIL"</formula>
    </cfRule>
  </conditionalFormatting>
  <conditionalFormatting sqref="H80">
    <cfRule type="cellIs" dxfId="22" priority="22" operator="equal">
      <formula>"PASS"</formula>
    </cfRule>
  </conditionalFormatting>
  <conditionalFormatting sqref="H80">
    <cfRule type="cellIs" dxfId="21" priority="23" operator="equal">
      <formula>"WARNING"</formula>
    </cfRule>
  </conditionalFormatting>
  <conditionalFormatting sqref="H80">
    <cfRule type="containsBlanks" dxfId="20" priority="24">
      <formula>LEN(TRIM(H80))=0</formula>
    </cfRule>
  </conditionalFormatting>
  <conditionalFormatting sqref="H12:H13">
    <cfRule type="cellIs" dxfId="19" priority="17" operator="equal">
      <formula>"FAIL"</formula>
    </cfRule>
  </conditionalFormatting>
  <conditionalFormatting sqref="H12:H13">
    <cfRule type="cellIs" dxfId="18" priority="18" operator="equal">
      <formula>"PASS"</formula>
    </cfRule>
  </conditionalFormatting>
  <conditionalFormatting sqref="H12:H13">
    <cfRule type="cellIs" dxfId="17" priority="19" operator="equal">
      <formula>"WARNING"</formula>
    </cfRule>
  </conditionalFormatting>
  <conditionalFormatting sqref="H12:H13">
    <cfRule type="containsBlanks" dxfId="16" priority="20">
      <formula>LEN(TRIM(H12))=0</formula>
    </cfRule>
  </conditionalFormatting>
  <conditionalFormatting sqref="H16:H17">
    <cfRule type="cellIs" dxfId="15" priority="13" operator="equal">
      <formula>"FAIL"</formula>
    </cfRule>
  </conditionalFormatting>
  <conditionalFormatting sqref="H16:H17">
    <cfRule type="cellIs" dxfId="14" priority="14" operator="equal">
      <formula>"PASS"</formula>
    </cfRule>
  </conditionalFormatting>
  <conditionalFormatting sqref="H16:H17">
    <cfRule type="cellIs" dxfId="13" priority="15" operator="equal">
      <formula>"WARNING"</formula>
    </cfRule>
  </conditionalFormatting>
  <conditionalFormatting sqref="H16:H17">
    <cfRule type="containsBlanks" dxfId="12" priority="16">
      <formula>LEN(TRIM(H16))=0</formula>
    </cfRule>
  </conditionalFormatting>
  <conditionalFormatting sqref="H18:H60">
    <cfRule type="cellIs" dxfId="11" priority="9" operator="equal">
      <formula>"FAIL"</formula>
    </cfRule>
  </conditionalFormatting>
  <conditionalFormatting sqref="H18:H60">
    <cfRule type="cellIs" dxfId="10" priority="10" operator="equal">
      <formula>"PASS"</formula>
    </cfRule>
  </conditionalFormatting>
  <conditionalFormatting sqref="H18:H60">
    <cfRule type="cellIs" dxfId="9" priority="11" operator="equal">
      <formula>"WARNING"</formula>
    </cfRule>
  </conditionalFormatting>
  <conditionalFormatting sqref="H18:H60">
    <cfRule type="containsBlanks" dxfId="8" priority="12">
      <formula>LEN(TRIM(H18))=0</formula>
    </cfRule>
  </conditionalFormatting>
  <conditionalFormatting sqref="H8:H9">
    <cfRule type="cellIs" dxfId="7" priority="5" operator="equal">
      <formula>"FAIL"</formula>
    </cfRule>
  </conditionalFormatting>
  <conditionalFormatting sqref="H8:H9">
    <cfRule type="cellIs" dxfId="6" priority="6" operator="equal">
      <formula>"PASS"</formula>
    </cfRule>
  </conditionalFormatting>
  <conditionalFormatting sqref="H8:H9">
    <cfRule type="cellIs" dxfId="5" priority="7" operator="equal">
      <formula>"WARNING"</formula>
    </cfRule>
  </conditionalFormatting>
  <conditionalFormatting sqref="H8:H9">
    <cfRule type="containsBlanks" dxfId="4" priority="8">
      <formula>LEN(TRIM(H8))=0</formula>
    </cfRule>
  </conditionalFormatting>
  <conditionalFormatting sqref="H14:H15">
    <cfRule type="cellIs" dxfId="3" priority="1" operator="equal">
      <formula>"FAIL"</formula>
    </cfRule>
  </conditionalFormatting>
  <conditionalFormatting sqref="H14:H15">
    <cfRule type="cellIs" dxfId="2" priority="2" operator="equal">
      <formula>"PASS"</formula>
    </cfRule>
  </conditionalFormatting>
  <conditionalFormatting sqref="H14:H15">
    <cfRule type="cellIs" dxfId="1" priority="3" operator="equal">
      <formula>"WARNING"</formula>
    </cfRule>
  </conditionalFormatting>
  <conditionalFormatting sqref="H14:H15">
    <cfRule type="containsBlanks" dxfId="0" priority="4">
      <formula>LEN(TRIM(H14))=0</formula>
    </cfRule>
  </conditionalFormatting>
  <dataValidations xWindow="703" yWindow="689" count="1">
    <dataValidation type="list" allowBlank="1" showInputMessage="1" showErrorMessage="1" prompt="Click and enter a value from the list of items" sqref="H74 H80 H77 H71 H8:H68" xr:uid="{00000000-0002-0000-0000-000000000000}">
      <formula1>"PASS,FAIL,WARNING"</formula1>
    </dataValidation>
  </dataValidations>
  <hyperlinks>
    <hyperlink ref="I16" r:id="rId1" display="Last name" xr:uid="{02A01441-8732-4788-B4B0-A5B5163DB2CD}"/>
    <hyperlink ref="I22" r:id="rId2" display="email " xr:uid="{14A65DB8-6BBF-4C47-86A8-4B8FE4101B7C}"/>
    <hyperlink ref="I26" r:id="rId3" xr:uid="{87476184-6D60-4A97-9FE7-1965DCBEE236}"/>
    <hyperlink ref="I30" r:id="rId4" xr:uid="{66E8869B-01FD-419D-8F7F-775168D6F406}"/>
    <hyperlink ref="I10" r:id="rId5" display="First name" xr:uid="{1D74BD79-3D47-4D0F-AE5A-893B7AD0303A}"/>
    <hyperlink ref="I18" r:id="rId6" display="Last name" xr:uid="{FF7F1B90-D88A-409F-94DB-B593EDD5E101}"/>
    <hyperlink ref="I24" r:id="rId7" xr:uid="{5A750724-0C95-41DD-8B9C-9CDD18A5E108}"/>
    <hyperlink ref="I28" r:id="rId8" display="email with wrong domain" xr:uid="{1D99E6AD-891F-496E-B172-C37950871684}"/>
    <hyperlink ref="I34" r:id="rId9" display="email " xr:uid="{89119E58-3E46-441A-A32C-82AA80C9E196}"/>
    <hyperlink ref="I36" r:id="rId10" display="email " xr:uid="{B723195C-5448-4EB0-9891-B4AACE3519D2}"/>
    <hyperlink ref="I38" r:id="rId11" display="email " xr:uid="{C90171BC-8F1D-4F63-909B-2983DDEB0E60}"/>
  </hyperlinks>
  <pageMargins left="0.7" right="0.7" top="0.75" bottom="0.75" header="0" footer="0"/>
  <pageSetup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2020-08-07T07:40:07Z</cp:lastPrinted>
  <dcterms:created xsi:type="dcterms:W3CDTF">2020-08-07T08:33:33Z</dcterms:created>
  <dcterms:modified xsi:type="dcterms:W3CDTF">2021-11-29T22:17:43Z</dcterms:modified>
</cp:coreProperties>
</file>