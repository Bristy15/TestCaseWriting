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934F462-571C-4F61-B053-635594109C9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Project_Name_Sprint0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0" i="1" l="1"/>
  <c r="K30" i="1"/>
  <c r="E30" i="1"/>
  <c r="B30" i="1"/>
  <c r="M29" i="1"/>
  <c r="F29" i="1"/>
  <c r="J6" i="1" s="1"/>
  <c r="M28" i="1"/>
  <c r="F28" i="1"/>
  <c r="M27" i="1"/>
  <c r="F27" i="1"/>
  <c r="M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0"/>
            <color rgb="FF000000"/>
            <rFont val="Arial"/>
          </rPr>
          <t>Specify you test run ID from TestRail here</t>
        </r>
      </text>
    </comment>
  </commentList>
</comments>
</file>

<file path=xl/sharedStrings.xml><?xml version="1.0" encoding="utf-8"?>
<sst xmlns="http://schemas.openxmlformats.org/spreadsheetml/2006/main" count="41" uniqueCount="32">
  <si>
    <t>Test Case Run</t>
  </si>
  <si>
    <t>Sprint 19</t>
  </si>
  <si>
    <t>Status</t>
  </si>
  <si>
    <t>Count</t>
  </si>
  <si>
    <t>%</t>
  </si>
  <si>
    <t>Passed</t>
  </si>
  <si>
    <t>Total Bugs</t>
  </si>
  <si>
    <t>Backend</t>
  </si>
  <si>
    <t>Android</t>
  </si>
  <si>
    <t>Backoffice</t>
  </si>
  <si>
    <t>Blocked</t>
  </si>
  <si>
    <t>Untested</t>
  </si>
  <si>
    <t>Retest</t>
  </si>
  <si>
    <t>Failed</t>
  </si>
  <si>
    <t>Severity</t>
  </si>
  <si>
    <t>Bug-Type</t>
  </si>
  <si>
    <t>Component</t>
  </si>
  <si>
    <t>Critical</t>
  </si>
  <si>
    <t>Major</t>
  </si>
  <si>
    <t>Minor</t>
  </si>
  <si>
    <t>Low</t>
  </si>
  <si>
    <t>Subtotal</t>
  </si>
  <si>
    <t>Functional</t>
  </si>
  <si>
    <t>Visual</t>
  </si>
  <si>
    <t>Content</t>
  </si>
  <si>
    <t>Performance</t>
  </si>
  <si>
    <t>Crash</t>
  </si>
  <si>
    <t>Total</t>
  </si>
  <si>
    <t>Component vs Severity</t>
  </si>
  <si>
    <t>Component vs Bug-Type</t>
  </si>
  <si>
    <t>Project Name: xxx
Sprint - 19
No. of Features: 4
No. of test Cases: 10
Total Bugs: 6</t>
  </si>
  <si>
    <t xml:space="preserve">Component wise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</si>
</sst>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4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93C47D"/>
        <bgColor rgb="FF93C47D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vertical="top" wrapText="1"/>
    </xf>
    <xf numFmtId="0" fontId="4" fillId="0" borderId="4" xfId="0" applyFont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4" fillId="4" borderId="4" xfId="0" applyFont="1" applyFill="1" applyBorder="1" applyAlignment="1"/>
    <xf numFmtId="0" fontId="3" fillId="4" borderId="4" xfId="0" applyFont="1" applyFill="1" applyBorder="1" applyAlignment="1"/>
    <xf numFmtId="0" fontId="4" fillId="0" borderId="4" xfId="0" applyFont="1" applyBorder="1" applyAlignment="1"/>
    <xf numFmtId="0" fontId="3" fillId="0" borderId="4" xfId="0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4" fillId="3" borderId="4" xfId="0" applyFont="1" applyFill="1" applyBorder="1" applyAlignment="1">
      <alignment vertical="top" wrapText="1"/>
    </xf>
    <xf numFmtId="0" fontId="4" fillId="0" borderId="4" xfId="0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4" fillId="0" borderId="4" xfId="0" applyFont="1" applyBorder="1" applyAlignment="1">
      <alignment horizontal="right" wrapText="1"/>
    </xf>
    <xf numFmtId="0" fontId="4" fillId="0" borderId="4" xfId="0" applyFont="1" applyBorder="1" applyAlignment="1">
      <alignment horizontal="right"/>
    </xf>
    <xf numFmtId="0" fontId="4" fillId="0" borderId="0" xfId="0" applyFont="1"/>
    <xf numFmtId="0" fontId="4" fillId="5" borderId="4" xfId="0" applyFont="1" applyFill="1" applyBorder="1" applyAlignment="1">
      <alignment vertical="top" wrapText="1"/>
    </xf>
    <xf numFmtId="0" fontId="3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Project_Name_Sprint01!$B$4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Project_Name_Sprint01!$A$5:$A$9</c:f>
              <c:strCache>
                <c:ptCount val="5"/>
                <c:pt idx="0">
                  <c:v>Passed</c:v>
                </c:pt>
                <c:pt idx="1">
                  <c:v>Blocked</c:v>
                </c:pt>
                <c:pt idx="2">
                  <c:v>Untested</c:v>
                </c:pt>
                <c:pt idx="3">
                  <c:v>Retest</c:v>
                </c:pt>
                <c:pt idx="4">
                  <c:v>Failed</c:v>
                </c:pt>
              </c:strCache>
            </c:strRef>
          </c:cat>
          <c:val>
            <c:numRef>
              <c:f>Project_Name_Sprint01!$B$5:$B$9</c:f>
              <c:numCache>
                <c:formatCode>General</c:formatCode>
                <c:ptCount val="5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37A-44DC-B9D0-840EDDF79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500928"/>
        <c:axId val="155510656"/>
      </c:barChart>
      <c:catAx>
        <c:axId val="15550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510656"/>
        <c:crosses val="autoZero"/>
        <c:auto val="1"/>
        <c:lblAlgn val="ctr"/>
        <c:lblOffset val="100"/>
        <c:noMultiLvlLbl val="1"/>
      </c:catAx>
      <c:valAx>
        <c:axId val="1555106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550092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BC19-4B32-865E-F57D9FE4ABD2}"/>
              </c:ext>
            </c:extLst>
          </c:dPt>
          <c:dPt>
            <c:idx val="2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BC19-4B32-865E-F57D9FE4ABD2}"/>
              </c:ext>
            </c:extLst>
          </c:dPt>
          <c:cat>
            <c:strRef>
              <c:f>Project_Name_Sprint01!$G$5:$J$5</c:f>
              <c:strCache>
                <c:ptCount val="4"/>
                <c:pt idx="0">
                  <c:v>Total Bugs</c:v>
                </c:pt>
                <c:pt idx="1">
                  <c:v>Backend</c:v>
                </c:pt>
                <c:pt idx="2">
                  <c:v>Android</c:v>
                </c:pt>
                <c:pt idx="3">
                  <c:v>Backoffice</c:v>
                </c:pt>
              </c:strCache>
            </c:strRef>
          </c:cat>
          <c:val>
            <c:numRef>
              <c:f>Project_Name_Sprint01!$G$6:$J$6</c:f>
              <c:numCache>
                <c:formatCode>General</c:formatCode>
                <c:ptCount val="4"/>
                <c:pt idx="0">
                  <c:v>5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BC19-4B32-865E-F57D9FE4A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612480"/>
        <c:axId val="187404288"/>
      </c:barChart>
      <c:catAx>
        <c:axId val="158612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 i="1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7404288"/>
        <c:crosses val="autoZero"/>
        <c:auto val="1"/>
        <c:lblAlgn val="ctr"/>
        <c:lblOffset val="100"/>
        <c:noMultiLvlLbl val="1"/>
      </c:catAx>
      <c:valAx>
        <c:axId val="1874042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61248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9525</xdr:rowOff>
    </xdr:from>
    <xdr:ext cx="3743325" cy="23241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6</xdr:col>
      <xdr:colOff>9525</xdr:colOff>
      <xdr:row>8</xdr:row>
      <xdr:rowOff>66675</xdr:rowOff>
    </xdr:from>
    <xdr:ext cx="4229100" cy="26193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  <outlinePr summaryBelow="0" summaryRight="0"/>
  </sheetPr>
  <dimension ref="A1:O39"/>
  <sheetViews>
    <sheetView tabSelected="1" workbookViewId="0">
      <selection activeCell="G6" sqref="G6"/>
    </sheetView>
  </sheetViews>
  <sheetFormatPr defaultColWidth="14.453125" defaultRowHeight="15.75" customHeight="1" x14ac:dyDescent="0.25"/>
  <sheetData>
    <row r="1" spans="1:15" ht="12.5" x14ac:dyDescent="0.25">
      <c r="A1" s="22" t="s">
        <v>30</v>
      </c>
      <c r="B1" s="20"/>
      <c r="C1" s="21"/>
      <c r="M1" s="1"/>
      <c r="N1" s="1"/>
      <c r="O1" s="1"/>
    </row>
    <row r="2" spans="1:15" ht="18" x14ac:dyDescent="0.25">
      <c r="A2" s="2"/>
      <c r="B2" s="2"/>
      <c r="C2" s="2"/>
      <c r="N2" s="1"/>
      <c r="O2" s="1"/>
    </row>
    <row r="3" spans="1:15" ht="15.75" customHeight="1" x14ac:dyDescent="0.4">
      <c r="A3" s="3" t="s">
        <v>0</v>
      </c>
      <c r="B3" s="4"/>
      <c r="C3" s="5" t="s">
        <v>1</v>
      </c>
      <c r="G3" s="23" t="s">
        <v>31</v>
      </c>
      <c r="H3" s="20"/>
      <c r="I3" s="20"/>
      <c r="J3" s="21"/>
    </row>
    <row r="4" spans="1:15" ht="13" x14ac:dyDescent="0.3">
      <c r="A4" s="6" t="s">
        <v>2</v>
      </c>
      <c r="B4" s="6" t="s">
        <v>3</v>
      </c>
      <c r="C4" s="7" t="s">
        <v>4</v>
      </c>
    </row>
    <row r="5" spans="1:15" ht="13" x14ac:dyDescent="0.3">
      <c r="A5" s="8" t="s">
        <v>5</v>
      </c>
      <c r="B5" s="9">
        <v>20</v>
      </c>
      <c r="C5" s="10">
        <v>1</v>
      </c>
      <c r="G5" s="11" t="s">
        <v>6</v>
      </c>
      <c r="H5" s="11" t="s">
        <v>7</v>
      </c>
      <c r="I5" s="11" t="s">
        <v>8</v>
      </c>
      <c r="J5" s="11" t="s">
        <v>9</v>
      </c>
    </row>
    <row r="6" spans="1:15" ht="13" x14ac:dyDescent="0.3">
      <c r="A6" s="8" t="s">
        <v>10</v>
      </c>
      <c r="B6" s="12">
        <v>0</v>
      </c>
      <c r="C6" s="13">
        <v>0</v>
      </c>
      <c r="G6" s="14">
        <v>5</v>
      </c>
      <c r="H6" s="14">
        <v>0</v>
      </c>
      <c r="I6" s="14">
        <v>5</v>
      </c>
      <c r="J6" s="14">
        <f>F29</f>
        <v>0</v>
      </c>
    </row>
    <row r="7" spans="1:15" ht="13" x14ac:dyDescent="0.3">
      <c r="A7" s="8" t="s">
        <v>11</v>
      </c>
      <c r="B7" s="12">
        <v>0</v>
      </c>
      <c r="C7" s="13">
        <v>0</v>
      </c>
    </row>
    <row r="8" spans="1:15" ht="13" x14ac:dyDescent="0.3">
      <c r="A8" s="8" t="s">
        <v>12</v>
      </c>
      <c r="B8" s="15">
        <v>0</v>
      </c>
      <c r="C8" s="13">
        <v>0</v>
      </c>
    </row>
    <row r="9" spans="1:15" ht="13" x14ac:dyDescent="0.3">
      <c r="A9" s="8" t="s">
        <v>13</v>
      </c>
      <c r="B9" s="15">
        <v>5</v>
      </c>
      <c r="C9" s="13">
        <v>0</v>
      </c>
    </row>
    <row r="15" spans="1:15" ht="13" x14ac:dyDescent="0.3">
      <c r="F15" s="16"/>
      <c r="G15" s="16"/>
      <c r="H15" s="16"/>
      <c r="I15" s="16"/>
    </row>
    <row r="25" spans="1:13" ht="12.5" x14ac:dyDescent="0.25">
      <c r="B25" s="19" t="s">
        <v>14</v>
      </c>
      <c r="C25" s="20"/>
      <c r="D25" s="20"/>
      <c r="E25" s="21"/>
      <c r="H25" s="19" t="s">
        <v>15</v>
      </c>
      <c r="I25" s="20"/>
      <c r="J25" s="20"/>
      <c r="K25" s="20"/>
      <c r="L25" s="21"/>
    </row>
    <row r="26" spans="1:13" ht="13" x14ac:dyDescent="0.25">
      <c r="A26" s="11" t="s">
        <v>16</v>
      </c>
      <c r="B26" s="17" t="s">
        <v>17</v>
      </c>
      <c r="C26" s="17" t="s">
        <v>18</v>
      </c>
      <c r="D26" s="17" t="s">
        <v>19</v>
      </c>
      <c r="E26" s="17" t="s">
        <v>20</v>
      </c>
      <c r="F26" s="18" t="s">
        <v>21</v>
      </c>
      <c r="G26" s="11" t="s">
        <v>16</v>
      </c>
      <c r="H26" s="17" t="s">
        <v>22</v>
      </c>
      <c r="I26" s="17" t="s">
        <v>23</v>
      </c>
      <c r="J26" s="17" t="s">
        <v>24</v>
      </c>
      <c r="K26" s="17" t="s">
        <v>25</v>
      </c>
      <c r="L26" s="17" t="s">
        <v>26</v>
      </c>
      <c r="M26" s="18" t="s">
        <v>21</v>
      </c>
    </row>
    <row r="27" spans="1:13" ht="13" x14ac:dyDescent="0.25">
      <c r="A27" s="17" t="s">
        <v>7</v>
      </c>
      <c r="B27" s="17">
        <v>0</v>
      </c>
      <c r="C27" s="17"/>
      <c r="D27" s="17">
        <v>0</v>
      </c>
      <c r="E27" s="17">
        <v>0</v>
      </c>
      <c r="F27" s="18">
        <f t="shared" ref="F27:F29" si="0">SUM(B27:E27)</f>
        <v>0</v>
      </c>
      <c r="G27" s="17" t="s">
        <v>7</v>
      </c>
      <c r="H27" s="17"/>
      <c r="I27" s="17"/>
      <c r="J27" s="17"/>
      <c r="K27" s="17">
        <v>0</v>
      </c>
      <c r="L27" s="17">
        <v>0</v>
      </c>
      <c r="M27" s="18">
        <f t="shared" ref="M27:M29" si="1">SUM(H27:L27)</f>
        <v>0</v>
      </c>
    </row>
    <row r="28" spans="1:13" ht="13" x14ac:dyDescent="0.25">
      <c r="A28" s="17" t="s">
        <v>8</v>
      </c>
      <c r="B28" s="17">
        <v>0</v>
      </c>
      <c r="C28" s="17"/>
      <c r="D28" s="17"/>
      <c r="E28" s="17">
        <v>0</v>
      </c>
      <c r="F28" s="18">
        <f t="shared" si="0"/>
        <v>0</v>
      </c>
      <c r="G28" s="17" t="s">
        <v>8</v>
      </c>
      <c r="H28" s="17"/>
      <c r="I28" s="17"/>
      <c r="J28" s="17"/>
      <c r="K28" s="17">
        <v>0</v>
      </c>
      <c r="L28" s="17">
        <v>0</v>
      </c>
      <c r="M28" s="18">
        <f t="shared" si="1"/>
        <v>0</v>
      </c>
    </row>
    <row r="29" spans="1:13" ht="13" x14ac:dyDescent="0.25">
      <c r="A29" s="17" t="s">
        <v>9</v>
      </c>
      <c r="B29" s="17">
        <v>0</v>
      </c>
      <c r="C29" s="17"/>
      <c r="D29" s="17"/>
      <c r="E29" s="17">
        <v>0</v>
      </c>
      <c r="F29" s="18">
        <f t="shared" si="0"/>
        <v>0</v>
      </c>
      <c r="G29" s="17" t="s">
        <v>9</v>
      </c>
      <c r="H29" s="17"/>
      <c r="I29" s="17"/>
      <c r="J29" s="17"/>
      <c r="K29" s="17">
        <v>0</v>
      </c>
      <c r="L29" s="17">
        <v>0</v>
      </c>
      <c r="M29" s="18">
        <f t="shared" si="1"/>
        <v>0</v>
      </c>
    </row>
    <row r="30" spans="1:13" ht="13" x14ac:dyDescent="0.25">
      <c r="A30" s="17" t="s">
        <v>27</v>
      </c>
      <c r="B30" s="17">
        <f t="shared" ref="B30:E30" si="2">SUM(B27:B29)</f>
        <v>0</v>
      </c>
      <c r="C30" s="17"/>
      <c r="D30" s="17"/>
      <c r="E30" s="17">
        <f t="shared" si="2"/>
        <v>0</v>
      </c>
      <c r="F30" s="18"/>
      <c r="G30" s="17" t="s">
        <v>27</v>
      </c>
      <c r="H30" s="17"/>
      <c r="I30" s="17"/>
      <c r="J30" s="17"/>
      <c r="K30" s="17">
        <f t="shared" ref="K30:M30" si="3">SUM(K27:K29)</f>
        <v>0</v>
      </c>
      <c r="L30" s="17">
        <f t="shared" si="3"/>
        <v>0</v>
      </c>
      <c r="M30" s="18">
        <f t="shared" si="3"/>
        <v>0</v>
      </c>
    </row>
    <row r="32" spans="1:13" ht="12.5" x14ac:dyDescent="0.25">
      <c r="C32" s="19" t="s">
        <v>28</v>
      </c>
      <c r="D32" s="21"/>
      <c r="I32" s="19" t="s">
        <v>29</v>
      </c>
      <c r="J32" s="20"/>
      <c r="K32" s="21"/>
    </row>
    <row r="39" spans="6:9" ht="13" x14ac:dyDescent="0.25">
      <c r="F39" s="19"/>
      <c r="G39" s="20"/>
      <c r="H39" s="20"/>
      <c r="I39" s="21"/>
    </row>
  </sheetData>
  <mergeCells count="7">
    <mergeCell ref="F39:I39"/>
    <mergeCell ref="A1:C1"/>
    <mergeCell ref="G3:J3"/>
    <mergeCell ref="B25:E25"/>
    <mergeCell ref="H25:L25"/>
    <mergeCell ref="C32:D32"/>
    <mergeCell ref="I32:K32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Project_Name_Sprint01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Sabiul Islam</dc:creator>
  <cp:lastModifiedBy>user</cp:lastModifiedBy>
  <dcterms:created xsi:type="dcterms:W3CDTF">2021-10-03T18:14:01Z</dcterms:created>
  <dcterms:modified xsi:type="dcterms:W3CDTF">2021-11-29T09:12:48Z</dcterms:modified>
</cp:coreProperties>
</file>